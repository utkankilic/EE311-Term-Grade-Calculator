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tkan\Downloads\"/>
    </mc:Choice>
  </mc:AlternateContent>
  <xr:revisionPtr revIDLastSave="0" documentId="13_ncr:1_{EA9FAC9D-F2E1-4094-A597-91205206A4FB}" xr6:coauthVersionLast="46" xr6:coauthVersionMax="46" xr10:uidLastSave="{00000000-0000-0000-0000-000000000000}"/>
  <bookViews>
    <workbookView xWindow="-110" yWindow="-110" windowWidth="19420" windowHeight="11020" tabRatio="50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C17" i="1" l="1"/>
  <c r="F17" i="1" s="1"/>
  <c r="D17" i="1"/>
  <c r="G17" i="1" s="1"/>
  <c r="D24" i="1"/>
  <c r="G24" i="1"/>
  <c r="C24" i="1"/>
  <c r="F24" i="1" s="1"/>
  <c r="D10" i="1"/>
  <c r="G10" i="1" s="1"/>
  <c r="C10" i="1"/>
  <c r="F10" i="1" s="1"/>
  <c r="F27" i="1" l="1"/>
  <c r="G27" i="1"/>
</calcChain>
</file>

<file path=xl/sharedStrings.xml><?xml version="1.0" encoding="utf-8"?>
<sst xmlns="http://schemas.openxmlformats.org/spreadsheetml/2006/main" count="31" uniqueCount="21">
  <si>
    <t>Sarı yerleri max değer üzeinden puanlarla doldurun.</t>
  </si>
  <si>
    <t>O yazan yerler daha açıklanmadı.</t>
  </si>
  <si>
    <t xml:space="preserve">Görece durumunuzu görmek için kendi puanınıza da sıfır girin </t>
  </si>
  <si>
    <t>Katkılar</t>
  </si>
  <si>
    <t>THE (max=100), En yüksek dördünü kendi seçiyor.</t>
  </si>
  <si>
    <t>SİZ</t>
  </si>
  <si>
    <t>ORTALAMA</t>
  </si>
  <si>
    <t>Weights</t>
  </si>
  <si>
    <t>MT max=50</t>
  </si>
  <si>
    <t>MT1</t>
  </si>
  <si>
    <t>MT2</t>
  </si>
  <si>
    <t>MT3</t>
  </si>
  <si>
    <t>MT4</t>
  </si>
  <si>
    <t>Final</t>
  </si>
  <si>
    <t>Part1 max=32</t>
  </si>
  <si>
    <t>Part2 max=50</t>
  </si>
  <si>
    <t>DÖNEM SONU</t>
  </si>
  <si>
    <t>Bu değerleri gruptan öğrendim hatalıysa siz düzeltin</t>
  </si>
  <si>
    <t>Final bir ve final ikinin etkisi eşit farz ederek yaptım, bu değişirse yanda yazanları yapmanız lazım</t>
  </si>
  <si>
    <t>Mavi bloklara relatif değerleri yaz (örn: ikinci final 3 kat daha önemli ise sırayla 1 ve 3 yazın)</t>
  </si>
  <si>
    <t>Toplam max=100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</si>
</sst>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B4C7DC"/>
        <bgColor rgb="FFCCCCFF"/>
      </patternFill>
    </fill>
    <fill>
      <patternFill patternType="solid">
        <fgColor rgb="FF729FCF"/>
        <bgColor rgb="FF969696"/>
      </patternFill>
    </fill>
    <fill>
      <patternFill patternType="solid">
        <fgColor rgb="FFFFFF00"/>
        <bgColor rgb="FFFFFF00"/>
      </patternFill>
    </fill>
    <fill>
      <patternFill patternType="solid">
        <fgColor rgb="FF81D41A"/>
        <bgColor rgb="FF969696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ont="1" applyFill="1"/>
    <xf numFmtId="0" fontId="0" fillId="3" borderId="0" xfId="0" applyFont="1" applyFill="1"/>
    <xf numFmtId="0" fontId="0" fillId="0" borderId="0" xfId="0" applyAlignment="1">
      <alignment horizontal="left"/>
    </xf>
    <xf numFmtId="0" fontId="0" fillId="4" borderId="0" xfId="0" applyFill="1"/>
    <xf numFmtId="0" fontId="0" fillId="0" borderId="0" xfId="0"/>
    <xf numFmtId="0" fontId="0" fillId="7" borderId="0" xfId="0" applyFill="1"/>
    <xf numFmtId="0" fontId="0" fillId="0" borderId="0" xfId="0" applyAlignment="1">
      <alignment wrapText="1"/>
    </xf>
    <xf numFmtId="0" fontId="0" fillId="0" borderId="1" xfId="0" applyBorder="1"/>
    <xf numFmtId="0" fontId="0" fillId="0" borderId="2" xfId="0" applyBorder="1"/>
    <xf numFmtId="0" fontId="0" fillId="8" borderId="1" xfId="0" applyFill="1" applyBorder="1"/>
    <xf numFmtId="0" fontId="0" fillId="8" borderId="2" xfId="0" applyFill="1" applyBorder="1"/>
    <xf numFmtId="0" fontId="0" fillId="5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DC"/>
      <rgbColor rgb="FF808080"/>
      <rgbColor rgb="FF729FC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27"/>
  <sheetViews>
    <sheetView tabSelected="1" topLeftCell="A9" zoomScale="115" zoomScaleNormal="115" workbookViewId="0">
      <selection activeCell="D20" sqref="D20"/>
    </sheetView>
  </sheetViews>
  <sheetFormatPr defaultColWidth="11.54296875" defaultRowHeight="12.5" x14ac:dyDescent="0.25"/>
  <cols>
    <col min="1" max="1" width="51.54296875" customWidth="1"/>
    <col min="3" max="3" width="11.36328125" customWidth="1"/>
    <col min="4" max="4" width="23.7265625" customWidth="1"/>
    <col min="5" max="5" width="15.81640625" customWidth="1"/>
    <col min="6" max="6" width="10.90625" customWidth="1"/>
  </cols>
  <sheetData>
    <row r="1" spans="1:7" x14ac:dyDescent="0.25">
      <c r="A1" s="1" t="s">
        <v>0</v>
      </c>
      <c r="D1" s="5"/>
      <c r="E1" s="5"/>
      <c r="F1" s="5"/>
      <c r="G1" s="5"/>
    </row>
    <row r="2" spans="1:7" x14ac:dyDescent="0.25">
      <c r="A2" s="1" t="s">
        <v>1</v>
      </c>
      <c r="D2" s="5"/>
      <c r="E2" s="5"/>
      <c r="F2" s="5"/>
      <c r="G2" s="5"/>
    </row>
    <row r="3" spans="1:7" x14ac:dyDescent="0.25">
      <c r="A3" s="1" t="s">
        <v>2</v>
      </c>
      <c r="D3" s="5"/>
      <c r="E3" s="5"/>
      <c r="F3" s="2" t="s">
        <v>3</v>
      </c>
      <c r="G3" s="2"/>
    </row>
    <row r="4" spans="1:7" x14ac:dyDescent="0.25">
      <c r="A4" t="s">
        <v>4</v>
      </c>
      <c r="C4" t="s">
        <v>5</v>
      </c>
      <c r="D4" s="5" t="s">
        <v>6</v>
      </c>
      <c r="E4" s="5" t="s">
        <v>7</v>
      </c>
      <c r="F4" s="5" t="s">
        <v>5</v>
      </c>
      <c r="G4" s="5" t="s">
        <v>6</v>
      </c>
    </row>
    <row r="5" spans="1:7" x14ac:dyDescent="0.25">
      <c r="A5" s="3">
        <v>1</v>
      </c>
      <c r="C5" s="4"/>
      <c r="D5" s="5">
        <v>74.2</v>
      </c>
      <c r="E5" s="5"/>
      <c r="F5" s="5"/>
      <c r="G5" s="5"/>
    </row>
    <row r="6" spans="1:7" x14ac:dyDescent="0.25">
      <c r="A6" s="3">
        <v>2</v>
      </c>
      <c r="C6" s="4"/>
      <c r="D6" s="5">
        <v>80.03</v>
      </c>
      <c r="E6" s="5"/>
      <c r="F6" s="5"/>
      <c r="G6" s="5"/>
    </row>
    <row r="7" spans="1:7" x14ac:dyDescent="0.25">
      <c r="A7" s="3">
        <v>3</v>
      </c>
      <c r="C7" s="4"/>
      <c r="D7" s="5">
        <v>50.04</v>
      </c>
      <c r="E7" s="5"/>
      <c r="F7" s="5"/>
      <c r="G7" s="5"/>
    </row>
    <row r="8" spans="1:7" x14ac:dyDescent="0.25">
      <c r="A8" s="3">
        <v>4</v>
      </c>
      <c r="C8" s="4">
        <v>0</v>
      </c>
      <c r="D8" s="5">
        <v>0</v>
      </c>
      <c r="E8" s="5"/>
      <c r="F8" s="5"/>
      <c r="G8" s="5"/>
    </row>
    <row r="9" spans="1:7" ht="13" thickBot="1" x14ac:dyDescent="0.3">
      <c r="A9" s="3">
        <v>5</v>
      </c>
      <c r="C9" s="4">
        <v>0</v>
      </c>
      <c r="D9" s="5">
        <v>0</v>
      </c>
      <c r="E9" s="5"/>
      <c r="F9" s="5"/>
      <c r="G9" s="5"/>
    </row>
    <row r="10" spans="1:7" ht="13" thickBot="1" x14ac:dyDescent="0.3">
      <c r="A10" t="s">
        <v>20</v>
      </c>
      <c r="C10" s="8" t="e">
        <f>AVERAGE(LARGE(C5:C9,{1,2,3,4}))</f>
        <v>#NUM!</v>
      </c>
      <c r="D10" s="9">
        <f>AVERAGE(D5:D9)</f>
        <v>40.853999999999999</v>
      </c>
      <c r="E10" s="5">
        <v>0.08</v>
      </c>
      <c r="F10" s="5" t="e">
        <f>PRODUCT(C10,E10)</f>
        <v>#NUM!</v>
      </c>
      <c r="G10" s="5">
        <f>PRODUCT(D10,E10)</f>
        <v>3.2683200000000001</v>
      </c>
    </row>
    <row r="11" spans="1:7" x14ac:dyDescent="0.25">
      <c r="C11" s="5" t="s">
        <v>5</v>
      </c>
      <c r="D11" s="5" t="s">
        <v>6</v>
      </c>
      <c r="E11" s="5"/>
      <c r="F11" s="5"/>
      <c r="G11" s="5"/>
    </row>
    <row r="12" spans="1:7" x14ac:dyDescent="0.25">
      <c r="A12" t="s">
        <v>8</v>
      </c>
      <c r="D12" s="5"/>
      <c r="E12" s="5"/>
      <c r="F12" s="5"/>
      <c r="G12" s="5"/>
    </row>
    <row r="13" spans="1:7" ht="12.75" customHeight="1" x14ac:dyDescent="0.25">
      <c r="A13" t="s">
        <v>9</v>
      </c>
      <c r="C13" s="4"/>
      <c r="D13" s="5">
        <v>15</v>
      </c>
      <c r="E13" s="12" t="s">
        <v>17</v>
      </c>
      <c r="F13" s="5"/>
      <c r="G13" s="5"/>
    </row>
    <row r="14" spans="1:7" x14ac:dyDescent="0.25">
      <c r="A14" t="s">
        <v>10</v>
      </c>
      <c r="C14" s="4"/>
      <c r="D14" s="5">
        <v>32</v>
      </c>
      <c r="E14" s="12"/>
      <c r="F14" s="5"/>
      <c r="G14" s="5"/>
    </row>
    <row r="15" spans="1:7" x14ac:dyDescent="0.25">
      <c r="A15" t="s">
        <v>11</v>
      </c>
      <c r="C15" s="4"/>
      <c r="D15" s="5">
        <v>20</v>
      </c>
      <c r="E15" s="12"/>
      <c r="F15" s="5"/>
      <c r="G15" s="5"/>
    </row>
    <row r="16" spans="1:7" ht="13" thickBot="1" x14ac:dyDescent="0.3">
      <c r="A16" t="s">
        <v>12</v>
      </c>
      <c r="C16" s="4"/>
      <c r="D16" s="5">
        <v>25</v>
      </c>
      <c r="E16" s="12"/>
      <c r="F16" s="5"/>
      <c r="G16" s="5"/>
    </row>
    <row r="17" spans="1:7" ht="13" thickBot="1" x14ac:dyDescent="0.3">
      <c r="A17" t="s">
        <v>20</v>
      </c>
      <c r="C17" s="8" t="e">
        <f>AVERAGE(C13:C16)*2</f>
        <v>#DIV/0!</v>
      </c>
      <c r="D17" s="9">
        <f>AVERAGE(D13:D16)*2</f>
        <v>46</v>
      </c>
      <c r="E17" s="5">
        <v>0.56000000000000005</v>
      </c>
      <c r="F17" s="5" t="e">
        <f>PRODUCT(C17,E17)</f>
        <v>#DIV/0!</v>
      </c>
      <c r="G17" s="5">
        <f>PRODUCT(D17,E17)</f>
        <v>25.76</v>
      </c>
    </row>
    <row r="18" spans="1:7" x14ac:dyDescent="0.25">
      <c r="B18" s="13" t="s">
        <v>19</v>
      </c>
      <c r="D18" s="5"/>
      <c r="E18" s="5"/>
      <c r="F18" s="5"/>
      <c r="G18" s="5"/>
    </row>
    <row r="19" spans="1:7" x14ac:dyDescent="0.25">
      <c r="B19" s="13"/>
      <c r="D19" s="5"/>
      <c r="E19" s="5"/>
      <c r="F19" s="5"/>
      <c r="G19" s="5"/>
    </row>
    <row r="20" spans="1:7" ht="75" customHeight="1" x14ac:dyDescent="0.25">
      <c r="A20" s="7" t="s">
        <v>18</v>
      </c>
      <c r="B20" s="13"/>
      <c r="D20" s="5"/>
      <c r="E20" s="5"/>
      <c r="F20" s="5"/>
      <c r="G20" s="5"/>
    </row>
    <row r="21" spans="1:7" x14ac:dyDescent="0.25">
      <c r="A21" t="s">
        <v>13</v>
      </c>
      <c r="C21" s="5" t="s">
        <v>5</v>
      </c>
      <c r="D21" s="5" t="s">
        <v>6</v>
      </c>
    </row>
    <row r="22" spans="1:7" x14ac:dyDescent="0.25">
      <c r="A22" t="s">
        <v>14</v>
      </c>
      <c r="B22" s="6">
        <v>1</v>
      </c>
      <c r="C22" s="4">
        <v>0</v>
      </c>
      <c r="D22" s="5">
        <v>0</v>
      </c>
      <c r="E22" s="5"/>
      <c r="F22" s="5"/>
      <c r="G22" s="5"/>
    </row>
    <row r="23" spans="1:7" ht="13" thickBot="1" x14ac:dyDescent="0.3">
      <c r="A23" t="s">
        <v>15</v>
      </c>
      <c r="B23" s="6">
        <v>1</v>
      </c>
      <c r="C23" s="4">
        <v>0</v>
      </c>
      <c r="D23" s="5">
        <v>0</v>
      </c>
      <c r="E23" s="5"/>
      <c r="F23" s="5"/>
      <c r="G23" s="5"/>
    </row>
    <row r="24" spans="1:7" ht="13" thickBot="1" x14ac:dyDescent="0.3">
      <c r="A24" t="s">
        <v>20</v>
      </c>
      <c r="C24" s="8">
        <f>(B23*C22/32+B23*C23/50)/SUM(B22:B23) * 100</f>
        <v>0</v>
      </c>
      <c r="D24" s="9">
        <f>(B22*D22/32+B23*D23/50)/SUM(B22:B23) * 100</f>
        <v>0</v>
      </c>
      <c r="E24" s="5">
        <v>0.36</v>
      </c>
      <c r="F24" s="5">
        <f>PRODUCT(C24,E24)</f>
        <v>0</v>
      </c>
      <c r="G24" s="5">
        <f>PRODUCT(D24,E24)</f>
        <v>0</v>
      </c>
    </row>
    <row r="25" spans="1:7" x14ac:dyDescent="0.25">
      <c r="D25" s="5"/>
      <c r="E25" s="5"/>
      <c r="F25" s="5"/>
      <c r="G25" s="5"/>
    </row>
    <row r="26" spans="1:7" ht="13" thickBot="1" x14ac:dyDescent="0.3">
      <c r="D26" s="5"/>
      <c r="E26" s="5" t="s">
        <v>16</v>
      </c>
      <c r="F26" s="5" t="s">
        <v>5</v>
      </c>
      <c r="G26" s="5" t="s">
        <v>6</v>
      </c>
    </row>
    <row r="27" spans="1:7" ht="13" thickBot="1" x14ac:dyDescent="0.3">
      <c r="D27" s="5"/>
      <c r="E27" s="5"/>
      <c r="F27" s="10" t="e">
        <f>SUM(F10,F17,F24)</f>
        <v>#NUM!</v>
      </c>
      <c r="G27" s="11">
        <f>SUM(G10,G17,G24)</f>
        <v>29.028320000000001</v>
      </c>
    </row>
  </sheetData>
  <mergeCells count="2">
    <mergeCell ref="E13:E16"/>
    <mergeCell ref="B18:B20"/>
  </mergeCells>
  <pageMargins left="0.78749999999999998" right="0.78749999999999998" top="1.0249999999999999" bottom="1.0249999999999999" header="0.78749999999999998" footer="0.78749999999999998"/>
  <pageSetup orientation="portrait" useFirstPageNumber="1" horizontalDpi="300" verticalDpi="30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27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utkan kılıç</cp:lastModifiedBy>
  <cp:revision>3</cp:revision>
  <dcterms:created xsi:type="dcterms:W3CDTF">2021-01-26T16:52:35Z</dcterms:created>
  <dcterms:modified xsi:type="dcterms:W3CDTF">2021-01-30T13:38:21Z</dcterms:modified>
  <dc:language>en-US</dc:language>
</cp:coreProperties>
</file>